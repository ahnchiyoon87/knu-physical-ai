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829dfd9a2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명 환산" sheetId="1" r:id="R295d028bd4c54678"/>
    <x:sheet xmlns:r="http://schemas.openxmlformats.org/officeDocument/2006/relationships" name="일차별 기록" sheetId="2" r:id="R70fc7c692e3b45c8"/>
    <x:sheet xmlns:r="http://schemas.openxmlformats.org/officeDocument/2006/relationships" name="입력과 근거" sheetId="3" r:id="Rf310b343bcbd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#,##0"/>
    <x:numFmt numFmtId="202" formatCode="0.0%"/>
    <x:numFmt numFmtId="203" formatCode="yyyy-mm-dd"/>
    <x:numFmt numFmtId="204" formatCode="0.0000"/>
  </x:numFmts>
  <x:fonts count="5">
    <x:font>
      <x:sz val="11"/>
      <x:name val="Carlito"/>
    </x:font>
    <x:font>
      <x:sz val="11"/>
      <x:name val="Malgun Gothic"/>
    </x:font>
    <x:font>
      <x:b/>
      <x:sz val="16"/>
      <x:name val="Malgun Gothic"/>
    </x:font>
    <x:font>
      <x:b/>
      <x:sz val="11"/>
      <x:color rgb="FFFFFFFF"/>
      <x:name val="Malgun Gothic"/>
    </x:font>
    <x:font>
      <x:sz val="11"/>
      <x:color rgb="FF0000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0" xfId="0" applyNumberFormat="1" applyFont="1" applyFill="1" applyBorder="1"/>
    <x:xf numFmtId="204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26f8385894c9a" /><Relationship Type="http://schemas.openxmlformats.org/officeDocument/2006/relationships/theme" Target="/xl/theme/theme1.xml" Id="Rf6cf05f7fb004136" /><Relationship Type="http://schemas.openxmlformats.org/officeDocument/2006/relationships/sharedStrings" Target="/xl/sharedStrings.xml" Id="R2500be190f9b4703" /><Relationship Type="http://schemas.openxmlformats.org/officeDocument/2006/relationships/worksheet" Target="/xl/worksheets/sheet1.xml" Id="R295d028bd4c54678" /><Relationship Type="http://schemas.openxmlformats.org/officeDocument/2006/relationships/worksheet" Target="/xl/worksheets/sheet2.xml" Id="R70fc7c692e3b45c8" /><Relationship Type="http://schemas.openxmlformats.org/officeDocument/2006/relationships/worksheet" Target="/xl/worksheets/sheet3.xml" Id="Rf310b343bcbd43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29" hidden="0" customWidth="1"/>
    <x:col min="5" max="5" width="31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60명 운영비 환산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34" customHeight="1">
      <x:c r="A4" s="5" t="str">
        <x:v>항목</x:v>
      </x:c>
      <x:c r="B4" s="5" t="str">
        <x:v>실전반 9일</x:v>
      </x:c>
      <x:c r="C4" s="5" t="str">
        <x:v>통합반 10일</x:v>
      </x:c>
      <x:c r="D4" s="5" t="str">
        <x:v>전체</x:v>
      </x:c>
      <x:c r="E4" s="5" t="str">
        <x:v>판정 기준</x:v>
      </x:c>
      <x:c r="F4" s="1"/>
    </x:row>
    <x:row r="5" ht="25" customHeight="1">
      <x:c r="A5" s="1" t="str">
        <x:v>등록 인원</x:v>
      </x:c>
      <x:c r="B5" s="1" t="str">
        <x:f>IF('입력과 근거'!B5="","미입력",'입력과 근거'!B5)</x:f>
        <x:v>미입력</x:v>
      </x:c>
      <x:c r="C5" s="1" t="str">
        <x:f>IF('입력과 근거'!B6="","미입력",'입력과 근거'!B6)</x:f>
        <x:v>미입력</x:v>
      </x:c>
      <x:c r="D5" s="1" t="str">
        <x:f>IF(COUNT(B5:C5)=2,SUM(B5:C5),"미입력")</x:f>
        <x:v>미입력</x:v>
      </x:c>
      <x:c r="E5" s="1" t="str">
        <x:v>두 반 합계 60명</x:v>
      </x:c>
      <x:c r="F5" s="1"/>
    </x:row>
    <x:row r="6" ht="25" customHeight="1">
      <x:c r="A6" s="1" t="str">
        <x:v>완주 기록 일차 수</x:v>
      </x:c>
      <x:c r="B6" s="1" t="n">
        <x:f>COUNTIFS('일차별 기록'!$B$5:$B$23,"실전반",'일차별 기록'!$D$5:$D$23,"완주(사용자 기록)")</x:f>
        <x:v>0</x:v>
      </x:c>
      <x:c r="C6" s="1" t="n">
        <x:f>COUNTIFS('일차별 기록'!$B$5:$B$23,"통합반",'일차별 기록'!$D$5:$D$23,"완주(사용자 기록)")</x:f>
        <x:v>0</x:v>
      </x:c>
      <x:c r="D6" s="1" t="n">
        <x:f>SUM(B6:C6)</x:f>
        <x:v>0</x:v>
      </x:c>
      <x:c r="E6" s="1" t="str">
        <x:v>완주는 사용자가 기록</x:v>
      </x:c>
      <x:c r="F6" s="1"/>
    </x:row>
    <x:row r="7" ht="25" customHeight="1">
      <x:c r="A7" s="1" t="str">
        <x:v>청구 확인 일차 수</x:v>
      </x:c>
      <x:c r="B7" s="1" t="n">
        <x:f>COUNTIFS('일차별 기록'!$B$5:$B$23,"실전반",'일차별 기록'!$P$5:$P$23,"청구 확인")</x:f>
        <x:v>0</x:v>
      </x:c>
      <x:c r="C7" s="1" t="n">
        <x:f>COUNTIFS('일차별 기록'!$B$5:$B$23,"통합반",'일차별 기록'!$P$5:$P$23,"청구 확인")</x:f>
        <x:v>0</x:v>
      </x:c>
      <x:c r="D7" s="1" t="n">
        <x:f>SUM(B7:C7)</x:f>
        <x:v>0</x:v>
      </x:c>
      <x:c r="E7" s="1" t="str">
        <x:v>원가·크레딧·앱 비용 입력</x:v>
      </x:c>
      <x:c r="F7" s="1"/>
    </x:row>
    <x:row r="8" ht="25" customHeight="1">
      <x:c r="A8" s="1" t="str">
        <x:v>1인 과정 모델 비용 USD</x:v>
      </x:c>
      <x:c r="B8" s="6" t="str">
        <x:f>IF(AND(B6=9,B7=9),SUMIFS('일차별 기록'!$O$5:$O$23,'일차별 기록'!$B$5:$B$23,"실전반"),"미측정")</x:f>
        <x:v>미측정</x:v>
      </x:c>
      <x:c r="C8" s="6" t="str">
        <x:f>IF(AND(C6=10,C7=10),SUMIFS('일차별 기록'!$O$5:$O$23,'일차별 기록'!$B$5:$B$23,"통합반"),"미측정")</x:f>
        <x:v>미측정</x:v>
      </x:c>
      <x:c r="D8" s="6"/>
      <x:c r="E8" s="1"/>
      <x:c r="F8" s="1"/>
    </x:row>
    <x:row r="9" ht="25" customHeight="1">
      <x:c r="A9" s="1" t="str">
        <x:v>반별 모델 비용 USD</x:v>
      </x:c>
      <x:c r="B9" s="6" t="str">
        <x:f>IF(AND(ISNUMBER(B5),ISNUMBER(B8)),B5*B8,"미측정")</x:f>
        <x:v>미측정</x:v>
      </x:c>
      <x:c r="C9" s="6" t="str">
        <x:f>IF(AND(ISNUMBER(C5),ISNUMBER(C8)),C5*C8,"미측정")</x:f>
        <x:v>미측정</x:v>
      </x:c>
      <x:c r="D9" s="6" t="str">
        <x:f>IF(COUNT(B9:C9)=2,SUM(B9:C9),"미측정")</x:f>
        <x:v>미측정</x:v>
      </x:c>
      <x:c r="E9" s="1"/>
      <x:c r="F9" s="1"/>
    </x:row>
    <x:row r="10" ht="25" customHeight="1">
      <x:c r="A10" s="1"/>
      <x:c r="B10" s="6"/>
      <x:c r="C10" s="6"/>
      <x:c r="D10" s="6"/>
      <x:c r="E10" s="1"/>
      <x:c r="F10" s="1"/>
    </x:row>
    <x:row r="11" ht="25" customHeight="1">
      <x:c r="A11" s="1"/>
      <x:c r="B11" s="6"/>
      <x:c r="C11" s="6"/>
      <x:c r="D11" s="6"/>
      <x:c r="E11" s="1"/>
      <x:c r="F11" s="1"/>
    </x:row>
    <x:row r="12" ht="34" customHeight="1">
      <x:c r="A12" s="5" t="str">
        <x:v>60명 비용 범위</x:v>
      </x:c>
      <x:c r="B12" s="7" t="str">
        <x:v>하한</x:v>
      </x:c>
      <x:c r="C12" s="7" t="str">
        <x:v>상한</x:v>
      </x:c>
      <x:c r="D12" s="6"/>
      <x:c r="E12" s="1"/>
      <x:c r="F12" s="1"/>
    </x:row>
    <x:row r="13" ht="25" customHeight="1">
      <x:c r="A13" s="1" t="str">
        <x:v>전체 운영비 KRW</x:v>
      </x:c>
      <x:c r="B13" s="6" t="str">
        <x:f>IF(AND(ISNUMBER(D9),D5=60,ISNUMBER('입력과 근거'!B7),ISNUMBER('입력과 근거'!B10)),(D9*'입력과 근거'!B8+'입력과 근거'!B10)*'입력과 근거'!B7*(1+'입력과 근거'!B11),"미측정 / 입력 필요")</x:f>
        <x:v>미측정 / 입력 필요</x:v>
      </x:c>
      <x:c r="C13" s="6" t="str">
        <x:f>IF(AND(ISNUMBER(D9),D5=60,ISNUMBER('입력과 근거'!B7),ISNUMBER('입력과 근거'!B10)),(D9*'입력과 근거'!B9+'입력과 근거'!B10)*'입력과 근거'!B7*(1+'입력과 근거'!B11),"미측정 / 입력 필요")</x:f>
        <x:v>미측정 / 입력 필요</x:v>
      </x:c>
      <x:c r="D13" s="6"/>
      <x:c r="E13" s="1"/>
      <x:c r="F13" s="1"/>
    </x:row>
    <x:row r="14" ht="25" customHeight="1">
      <x:c r="A14" s="1"/>
      <x:c r="B14" s="1"/>
      <x:c r="C14" s="1"/>
      <x:c r="D14" s="1"/>
      <x:c r="E14" s="1"/>
      <x:c r="F14" s="1"/>
    </x:row>
    <x:row r="15" ht="25" customHeight="1">
      <x:c r="A15" s="1" t="str">
        <x:v>범위는 학생 사용량 가정이며 통계적 신뢰구간이 아닙니다.</x:v>
      </x:c>
      <x:c r="B15" s="1"/>
      <x:c r="C15" s="1"/>
      <x:c r="D15" s="1"/>
      <x:c r="E15" s="1"/>
      <x:c r="F15" s="1"/>
    </x:row>
    <x:row r="16" ht="25" customHeight="1">
      <x:c r="A16" s="1" t="str">
        <x:v>Google 크레딧 차감 후 0원이어도 운영 원가는 0원이 아닙니다.</x:v>
      </x:c>
      <x:c r="B16" s="1"/>
      <x:c r="C16" s="1"/>
      <x:c r="D16" s="1"/>
      <x:c r="E16" s="1"/>
      <x:c r="F16" s="1"/>
    </x:row>
    <x:row r="17" ht="25" customHeight="1">
      <x:c r="A17" s="1"/>
      <x:c r="B17" s="1"/>
      <x:c r="C17" s="1"/>
      <x:c r="D17" s="1"/>
      <x:c r="E17" s="1"/>
      <x:c r="F17" s="1"/>
    </x:row>
    <x:row r="18" ht="25" customHeight="1">
      <x:c r="A18" s="1"/>
      <x:c r="B18" s="1"/>
      <x:c r="C18" s="1"/>
      <x:c r="D18" s="1"/>
      <x:c r="E18" s="1"/>
      <x:c r="F18" s="1"/>
    </x:row>
    <x:row r="19" ht="34" customHeight="1">
      <x:c r="A19" s="5" t="str">
        <x:v>비교 기준</x:v>
      </x:c>
      <x:c r="B19" s="5" t="str">
        <x:v>하한 KRW</x:v>
      </x:c>
      <x:c r="C19" s="5" t="str">
        <x:v>상한 KRW</x:v>
      </x:c>
      <x:c r="D19" s="5" t="str">
        <x:v>근거 성격</x:v>
      </x:c>
      <x:c r="E19" s="1"/>
      <x:c r="F19" s="1"/>
    </x:row>
    <x:row r="20" ht="25" customHeight="1">
      <x:c r="A20" s="1" t="str">
        <x:v>리서치 운영안</x:v>
      </x:c>
      <x:c r="B20" s="8" t="n">
        <x:v>1100000</x:v>
      </x:c>
      <x:c r="C20" s="8" t="n">
        <x:v>1550000</x:v>
      </x:c>
      <x:c r="D20" s="1" t="str">
        <x:v>실측 전 추산</x:v>
      </x:c>
      <x:c r="E20" s="1"/>
      <x:c r="F20" s="1"/>
    </x:row>
    <x:row r="21" ht="25" customHeight="1">
      <x:c r="A21" s="1" t="str">
        <x:v>Luna 모델 추산</x:v>
      </x:c>
      <x:c r="B21" s="8" t="n">
        <x:v>740000</x:v>
      </x:c>
      <x:c r="C21" s="8" t="n">
        <x:v>740000</x:v>
      </x:c>
      <x:c r="D21" s="1" t="str">
        <x:v>모델 비용 추산; 위 총액과 더하지 않음</x:v>
      </x:c>
      <x:c r="E21" s="1"/>
      <x:c r="F21" s="1"/>
    </x:row>
    <x:row r="22" ht="25" customHeight="1">
      <x:c r="A22" s="1"/>
      <x:c r="B22" s="1"/>
      <x:c r="C22" s="1"/>
      <x:c r="D22" s="1"/>
      <x:c r="E22" s="1"/>
      <x:c r="F22" s="1"/>
    </x:row>
    <x:row r="23" ht="25" customHeight="1">
      <x:c r="A23" s="1"/>
      <x:c r="B23" s="1"/>
      <x:c r="C23" s="1"/>
      <x:c r="D23" s="1"/>
      <x:c r="E23" s="1"/>
      <x:c r="F23" s="1"/>
    </x:row>
    <x:row r="24" ht="25" customHeight="1">
      <x:c r="A24" s="1" t="str">
        <x:v>Gemini 실측만으로 Luna 완주 비용을 확정하지 않습니다.</x:v>
      </x:c>
      <x:c r="B24" s="1"/>
      <x:c r="C24" s="1"/>
      <x:c r="D24" s="1"/>
      <x:c r="E24" s="1"/>
      <x:c r="F24" s="1"/>
    </x:row>
    <x:row r="25" ht="25" customHeight="1">
      <x:c r="A25" s="1" t="str">
        <x:v>현재 배포본을 측정합니다. 개편 후에는 영향 일차를 다시 측정합니다.</x:v>
      </x:c>
      <x:c r="B25" s="1"/>
      <x:c r="C25" s="1"/>
      <x:c r="D25" s="1"/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/>
      <x:c r="B28" s="1"/>
      <x:c r="C28" s="1"/>
      <x:c r="D28" s="1"/>
      <x:c r="E28" s="1"/>
      <x:c r="F28" s="1"/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8" hidden="0" customWidth="1"/>
    <x:col min="17" max="17" width="3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5" customHeight="1">
      <x:c r="A2" s="2" t="str">
        <x:v>일차별 사용량과 청구 대조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5" t="str">
        <x:v>일차</x:v>
      </x:c>
      <x:c r="B4" s="5" t="str">
        <x:v>반</x:v>
      </x:c>
      <x:c r="C4" s="5" t="str">
        <x:v>학교 날짜</x:v>
      </x:c>
      <x:c r="D4" s="5" t="str">
        <x:v>완주 상태</x:v>
      </x:c>
      <x:c r="E4" s="5" t="str">
        <x:v>요청 수</x:v>
      </x:c>
      <x:c r="F4" s="5" t="str">
        <x:v>입력 토큰</x:v>
      </x:c>
      <x:c r="G4" s="5" t="str">
        <x:v>출력 토큰</x:v>
      </x:c>
      <x:c r="H4" s="5" t="str">
        <x:v>캐시 읽기</x:v>
      </x:c>
      <x:c r="I4" s="5" t="str">
        <x:v>캐시 쓰기</x:v>
      </x:c>
      <x:c r="J4" s="5" t="str">
        <x:v>확장 예상 USD</x:v>
      </x:c>
      <x:c r="K4" s="5" t="str">
        <x:v>코딩 청구 원가 USD</x:v>
      </x:c>
      <x:c r="L4" s="5" t="str">
        <x:v>크레딧 차감 USD</x:v>
      </x:c>
      <x:c r="M4" s="5" t="str">
        <x:v>순 청구 USD</x:v>
      </x:c>
      <x:c r="N4" s="5" t="str">
        <x:v>앱 모델 원가 USD</x:v>
      </x:c>
      <x:c r="O4" s="5" t="str">
        <x:v>1인 모델 원가 USD</x:v>
      </x:c>
      <x:c r="P4" s="5" t="str">
        <x:v>청구 상태</x:v>
      </x:c>
      <x:c r="Q4" s="5" t="str">
        <x:v>관측 모델</x:v>
      </x:c>
    </x:row>
    <x:row r="5" ht="25" customHeight="1">
      <x:c r="A5" s="1" t="str">
        <x:v>P01</x:v>
      </x:c>
      <x:c r="B5" s="1" t="str">
        <x:v>실전반</x:v>
      </x:c>
      <x:c r="C5" s="12" t="n">
        <x:v>46326</x:v>
      </x:c>
      <x:c r="D5" s="1" t="str">
        <x:v>미측정</x:v>
      </x:c>
      <x:c r="E5" s="8"/>
      <x:c r="F5" s="8"/>
      <x:c r="G5" s="8"/>
      <x:c r="H5" s="8"/>
      <x:c r="I5" s="8"/>
      <x:c r="J5" s="13"/>
      <x:c r="K5" s="15"/>
      <x:c r="L5" s="15"/>
      <x:c r="M5" s="13" t="str">
        <x:f>IF(COUNT(K5:L5)=2,K5-L5,"")</x:f>
      </x:c>
      <x:c r="N5" s="15"/>
      <x:c r="O5" s="13" t="str">
        <x:f>IF(AND(ISNUMBER(K5),ISNUMBER(N5)),K5+N5,"")</x:f>
      </x:c>
      <x:c r="P5" s="1" t="str">
        <x:f>IF(AND(COUNT(K5:L5)=2,ISNUMBER(N5)),"청구 확인","청구 미확인")</x:f>
        <x:v>청구 미확인</x:v>
      </x:c>
      <x:c r="Q5" s="1" t="str"/>
    </x:row>
    <x:row r="6" ht="25" customHeight="1">
      <x:c r="A6" s="1" t="str">
        <x:v>P02</x:v>
      </x:c>
      <x:c r="B6" s="1" t="str">
        <x:v>실전반</x:v>
      </x:c>
      <x:c r="C6" s="12" t="n">
        <x:v>46333</x:v>
      </x:c>
      <x:c r="D6" s="1" t="str">
        <x:v>미측정</x:v>
      </x:c>
      <x:c r="E6" s="8"/>
      <x:c r="F6" s="8"/>
      <x:c r="G6" s="8"/>
      <x:c r="H6" s="8"/>
      <x:c r="I6" s="8"/>
      <x:c r="J6" s="13"/>
      <x:c r="K6" s="15"/>
      <x:c r="L6" s="15"/>
      <x:c r="M6" s="13" t="str">
        <x:f>IF(COUNT(K6:L6)=2,K6-L6,"")</x:f>
      </x:c>
      <x:c r="N6" s="15"/>
      <x:c r="O6" s="13" t="str">
        <x:f>IF(AND(ISNUMBER(K6),ISNUMBER(N6)),K6+N6,"")</x:f>
      </x:c>
      <x:c r="P6" s="1" t="str">
        <x:f>IF(AND(COUNT(K6:L6)=2,ISNUMBER(N6)),"청구 확인","청구 미확인")</x:f>
        <x:v>청구 미확인</x:v>
      </x:c>
      <x:c r="Q6" s="1" t="str"/>
    </x:row>
    <x:row r="7" ht="25" customHeight="1">
      <x:c r="A7" s="1" t="str">
        <x:v>P03</x:v>
      </x:c>
      <x:c r="B7" s="1" t="str">
        <x:v>실전반</x:v>
      </x:c>
      <x:c r="C7" s="12" t="n">
        <x:v>46347</x:v>
      </x:c>
      <x:c r="D7" s="1" t="str">
        <x:v>미측정</x:v>
      </x:c>
      <x:c r="E7" s="8"/>
      <x:c r="F7" s="8"/>
      <x:c r="G7" s="8"/>
      <x:c r="H7" s="8"/>
      <x:c r="I7" s="8"/>
      <x:c r="J7" s="13"/>
      <x:c r="K7" s="15"/>
      <x:c r="L7" s="15"/>
      <x:c r="M7" s="13" t="str">
        <x:f>IF(COUNT(K7:L7)=2,K7-L7,"")</x:f>
      </x:c>
      <x:c r="N7" s="15"/>
      <x:c r="O7" s="13" t="str">
        <x:f>IF(AND(ISNUMBER(K7),ISNUMBER(N7)),K7+N7,"")</x:f>
      </x:c>
      <x:c r="P7" s="1" t="str">
        <x:f>IF(AND(COUNT(K7:L7)=2,ISNUMBER(N7)),"청구 확인","청구 미확인")</x:f>
        <x:v>청구 미확인</x:v>
      </x:c>
      <x:c r="Q7" s="1" t="str"/>
    </x:row>
    <x:row r="8" ht="25" customHeight="1">
      <x:c r="A8" s="1" t="str">
        <x:v>P04</x:v>
      </x:c>
      <x:c r="B8" s="1" t="str">
        <x:v>실전반</x:v>
      </x:c>
      <x:c r="C8" s="12" t="n">
        <x:v>46354</x:v>
      </x:c>
      <x:c r="D8" s="1" t="str">
        <x:v>미측정</x:v>
      </x:c>
      <x:c r="E8" s="8"/>
      <x:c r="F8" s="8"/>
      <x:c r="G8" s="8"/>
      <x:c r="H8" s="8"/>
      <x:c r="I8" s="8"/>
      <x:c r="J8" s="13"/>
      <x:c r="K8" s="15"/>
      <x:c r="L8" s="15"/>
      <x:c r="M8" s="13" t="str">
        <x:f>IF(COUNT(K8:L8)=2,K8-L8,"")</x:f>
      </x:c>
      <x:c r="N8" s="15"/>
      <x:c r="O8" s="13" t="str">
        <x:f>IF(AND(ISNUMBER(K8),ISNUMBER(N8)),K8+N8,"")</x:f>
      </x:c>
      <x:c r="P8" s="1" t="str">
        <x:f>IF(AND(COUNT(K8:L8)=2,ISNUMBER(N8)),"청구 확인","청구 미확인")</x:f>
        <x:v>청구 미확인</x:v>
      </x:c>
      <x:c r="Q8" s="1" t="str"/>
    </x:row>
    <x:row r="9" ht="25" customHeight="1">
      <x:c r="A9" s="1" t="str">
        <x:v>P05</x:v>
      </x:c>
      <x:c r="B9" s="1" t="str">
        <x:v>실전반</x:v>
      </x:c>
      <x:c r="C9" s="12" t="n">
        <x:v>46412</x:v>
      </x:c>
      <x:c r="D9" s="1" t="str">
        <x:v>미측정</x:v>
      </x:c>
      <x:c r="E9" s="8"/>
      <x:c r="F9" s="8"/>
      <x:c r="G9" s="8"/>
      <x:c r="H9" s="8"/>
      <x:c r="I9" s="8"/>
      <x:c r="J9" s="13"/>
      <x:c r="K9" s="15"/>
      <x:c r="L9" s="15"/>
      <x:c r="M9" s="13" t="str">
        <x:f>IF(COUNT(K9:L9)=2,K9-L9,"")</x:f>
      </x:c>
      <x:c r="N9" s="15"/>
      <x:c r="O9" s="13" t="str">
        <x:f>IF(AND(ISNUMBER(K9),ISNUMBER(N9)),K9+N9,"")</x:f>
      </x:c>
      <x:c r="P9" s="1" t="str">
        <x:f>IF(AND(COUNT(K9:L9)=2,ISNUMBER(N9)),"청구 확인","청구 미확인")</x:f>
        <x:v>청구 미확인</x:v>
      </x:c>
      <x:c r="Q9" s="1" t="str"/>
    </x:row>
    <x:row r="10" ht="25" customHeight="1">
      <x:c r="A10" s="1" t="str">
        <x:v>P06</x:v>
      </x:c>
      <x:c r="B10" s="1" t="str">
        <x:v>실전반</x:v>
      </x:c>
      <x:c r="C10" s="12" t="n">
        <x:v>46413</x:v>
      </x:c>
      <x:c r="D10" s="1" t="str">
        <x:v>미측정</x:v>
      </x:c>
      <x:c r="E10" s="8"/>
      <x:c r="F10" s="8"/>
      <x:c r="G10" s="8"/>
      <x:c r="H10" s="8"/>
      <x:c r="I10" s="8"/>
      <x:c r="J10" s="13"/>
      <x:c r="K10" s="15"/>
      <x:c r="L10" s="15"/>
      <x:c r="M10" s="13" t="str">
        <x:f>IF(COUNT(K10:L10)=2,K10-L10,"")</x:f>
      </x:c>
      <x:c r="N10" s="15"/>
      <x:c r="O10" s="13" t="str">
        <x:f>IF(AND(ISNUMBER(K10),ISNUMBER(N10)),K10+N10,"")</x:f>
      </x:c>
      <x:c r="P10" s="1" t="str">
        <x:f>IF(AND(COUNT(K10:L10)=2,ISNUMBER(N10)),"청구 확인","청구 미확인")</x:f>
        <x:v>청구 미확인</x:v>
      </x:c>
      <x:c r="Q10" s="1" t="str"/>
    </x:row>
    <x:row r="11" ht="25" customHeight="1">
      <x:c r="A11" s="1" t="str">
        <x:v>P07</x:v>
      </x:c>
      <x:c r="B11" s="1" t="str">
        <x:v>실전반</x:v>
      </x:c>
      <x:c r="C11" s="12" t="n">
        <x:v>46414</x:v>
      </x:c>
      <x:c r="D11" s="1" t="str">
        <x:v>미측정</x:v>
      </x:c>
      <x:c r="E11" s="8"/>
      <x:c r="F11" s="8"/>
      <x:c r="G11" s="8"/>
      <x:c r="H11" s="8"/>
      <x:c r="I11" s="8"/>
      <x:c r="J11" s="13"/>
      <x:c r="K11" s="15"/>
      <x:c r="L11" s="15"/>
      <x:c r="M11" s="13" t="str">
        <x:f>IF(COUNT(K11:L11)=2,K11-L11,"")</x:f>
      </x:c>
      <x:c r="N11" s="15"/>
      <x:c r="O11" s="13" t="str">
        <x:f>IF(AND(ISNUMBER(K11),ISNUMBER(N11)),K11+N11,"")</x:f>
      </x:c>
      <x:c r="P11" s="1" t="str">
        <x:f>IF(AND(COUNT(K11:L11)=2,ISNUMBER(N11)),"청구 확인","청구 미확인")</x:f>
        <x:v>청구 미확인</x:v>
      </x:c>
      <x:c r="Q11" s="1" t="str"/>
    </x:row>
    <x:row r="12" ht="25" customHeight="1">
      <x:c r="A12" s="1" t="str">
        <x:v>P08</x:v>
      </x:c>
      <x:c r="B12" s="1" t="str">
        <x:v>실전반</x:v>
      </x:c>
      <x:c r="C12" s="12" t="n">
        <x:v>46415</x:v>
      </x:c>
      <x:c r="D12" s="1" t="str">
        <x:v>미측정</x:v>
      </x:c>
      <x:c r="E12" s="8"/>
      <x:c r="F12" s="8"/>
      <x:c r="G12" s="8"/>
      <x:c r="H12" s="8"/>
      <x:c r="I12" s="8"/>
      <x:c r="J12" s="13"/>
      <x:c r="K12" s="15"/>
      <x:c r="L12" s="15"/>
      <x:c r="M12" s="13" t="str">
        <x:f>IF(COUNT(K12:L12)=2,K12-L12,"")</x:f>
      </x:c>
      <x:c r="N12" s="15"/>
      <x:c r="O12" s="13" t="str">
        <x:f>IF(AND(ISNUMBER(K12),ISNUMBER(N12)),K12+N12,"")</x:f>
      </x:c>
      <x:c r="P12" s="1" t="str">
        <x:f>IF(AND(COUNT(K12:L12)=2,ISNUMBER(N12)),"청구 확인","청구 미확인")</x:f>
        <x:v>청구 미확인</x:v>
      </x:c>
      <x:c r="Q12" s="1" t="str"/>
    </x:row>
    <x:row r="13" ht="25" customHeight="1">
      <x:c r="A13" s="1" t="str">
        <x:v>P09</x:v>
      </x:c>
      <x:c r="B13" s="1" t="str">
        <x:v>실전반</x:v>
      </x:c>
      <x:c r="C13" s="12" t="n">
        <x:v>46416</x:v>
      </x:c>
      <x:c r="D13" s="1" t="str">
        <x:v>미측정</x:v>
      </x:c>
      <x:c r="E13" s="8"/>
      <x:c r="F13" s="8"/>
      <x:c r="G13" s="8"/>
      <x:c r="H13" s="8"/>
      <x:c r="I13" s="8"/>
      <x:c r="J13" s="13"/>
      <x:c r="K13" s="15"/>
      <x:c r="L13" s="15"/>
      <x:c r="M13" s="13" t="str">
        <x:f>IF(COUNT(K13:L13)=2,K13-L13,"")</x:f>
      </x:c>
      <x:c r="N13" s="15"/>
      <x:c r="O13" s="13" t="str">
        <x:f>IF(AND(ISNUMBER(K13),ISNUMBER(N13)),K13+N13,"")</x:f>
      </x:c>
      <x:c r="P13" s="1" t="str">
        <x:f>IF(AND(COUNT(K13:L13)=2,ISNUMBER(N13)),"청구 확인","청구 미확인")</x:f>
        <x:v>청구 미확인</x:v>
      </x:c>
      <x:c r="Q13" s="1" t="str"/>
    </x:row>
    <x:row r="14" ht="25" customHeight="1">
      <x:c r="A14" s="1" t="str">
        <x:v>I01</x:v>
      </x:c>
      <x:c r="B14" s="1" t="str">
        <x:v>통합반</x:v>
      </x:c>
      <x:c r="C14" s="12" t="n">
        <x:v>46340</x:v>
      </x:c>
      <x:c r="D14" s="1" t="str">
        <x:v>미측정</x:v>
      </x:c>
      <x:c r="E14" s="8"/>
      <x:c r="F14" s="8"/>
      <x:c r="G14" s="8"/>
      <x:c r="H14" s="8"/>
      <x:c r="I14" s="8"/>
      <x:c r="J14" s="13"/>
      <x:c r="K14" s="15"/>
      <x:c r="L14" s="15"/>
      <x:c r="M14" s="13" t="str">
        <x:f>IF(COUNT(K14:L14)=2,K14-L14,"")</x:f>
      </x:c>
      <x:c r="N14" s="15"/>
      <x:c r="O14" s="13" t="str">
        <x:f>IF(AND(ISNUMBER(K14),ISNUMBER(N14)),K14+N14,"")</x:f>
      </x:c>
      <x:c r="P14" s="1" t="str">
        <x:f>IF(AND(COUNT(K14:L14)=2,ISNUMBER(N14)),"청구 확인","청구 미확인")</x:f>
        <x:v>청구 미확인</x:v>
      </x:c>
      <x:c r="Q14" s="1" t="str"/>
    </x:row>
    <x:row r="15" ht="25" customHeight="1">
      <x:c r="A15" s="1" t="str">
        <x:v>I02</x:v>
      </x:c>
      <x:c r="B15" s="1" t="str">
        <x:v>통합반</x:v>
      </x:c>
      <x:c r="C15" s="12" t="n">
        <x:v>46412</x:v>
      </x:c>
      <x:c r="D15" s="1" t="str">
        <x:v>미측정</x:v>
      </x:c>
      <x:c r="E15" s="8"/>
      <x:c r="F15" s="8"/>
      <x:c r="G15" s="8"/>
      <x:c r="H15" s="8"/>
      <x:c r="I15" s="8"/>
      <x:c r="J15" s="13"/>
      <x:c r="K15" s="15"/>
      <x:c r="L15" s="15"/>
      <x:c r="M15" s="13" t="str">
        <x:f>IF(COUNT(K15:L15)=2,K15-L15,"")</x:f>
      </x:c>
      <x:c r="N15" s="15"/>
      <x:c r="O15" s="13" t="str">
        <x:f>IF(AND(ISNUMBER(K15),ISNUMBER(N15)),K15+N15,"")</x:f>
      </x:c>
      <x:c r="P15" s="1" t="str">
        <x:f>IF(AND(COUNT(K15:L15)=2,ISNUMBER(N15)),"청구 확인","청구 미확인")</x:f>
        <x:v>청구 미확인</x:v>
      </x:c>
      <x:c r="Q15" s="1" t="str"/>
    </x:row>
    <x:row r="16" ht="25" customHeight="1">
      <x:c r="A16" s="1" t="str">
        <x:v>I03</x:v>
      </x:c>
      <x:c r="B16" s="1" t="str">
        <x:v>통합반</x:v>
      </x:c>
      <x:c r="C16" s="12" t="n">
        <x:v>46413</x:v>
      </x:c>
      <x:c r="D16" s="1" t="str">
        <x:v>미측정</x:v>
      </x:c>
      <x:c r="E16" s="8"/>
      <x:c r="F16" s="8"/>
      <x:c r="G16" s="8"/>
      <x:c r="H16" s="8"/>
      <x:c r="I16" s="8"/>
      <x:c r="J16" s="13"/>
      <x:c r="K16" s="15"/>
      <x:c r="L16" s="15"/>
      <x:c r="M16" s="13" t="str">
        <x:f>IF(COUNT(K16:L16)=2,K16-L16,"")</x:f>
      </x:c>
      <x:c r="N16" s="15"/>
      <x:c r="O16" s="13" t="str">
        <x:f>IF(AND(ISNUMBER(K16),ISNUMBER(N16)),K16+N16,"")</x:f>
      </x:c>
      <x:c r="P16" s="1" t="str">
        <x:f>IF(AND(COUNT(K16:L16)=2,ISNUMBER(N16)),"청구 확인","청구 미확인")</x:f>
        <x:v>청구 미확인</x:v>
      </x:c>
      <x:c r="Q16" s="1" t="str"/>
    </x:row>
    <x:row r="17" ht="25" customHeight="1">
      <x:c r="A17" s="1" t="str">
        <x:v>I04</x:v>
      </x:c>
      <x:c r="B17" s="1" t="str">
        <x:v>통합반</x:v>
      </x:c>
      <x:c r="C17" s="12" t="n">
        <x:v>46414</x:v>
      </x:c>
      <x:c r="D17" s="1" t="str">
        <x:v>미측정</x:v>
      </x:c>
      <x:c r="E17" s="8"/>
      <x:c r="F17" s="8"/>
      <x:c r="G17" s="8"/>
      <x:c r="H17" s="8"/>
      <x:c r="I17" s="8"/>
      <x:c r="J17" s="13"/>
      <x:c r="K17" s="15"/>
      <x:c r="L17" s="15"/>
      <x:c r="M17" s="13" t="str">
        <x:f>IF(COUNT(K17:L17)=2,K17-L17,"")</x:f>
      </x:c>
      <x:c r="N17" s="15"/>
      <x:c r="O17" s="13" t="str">
        <x:f>IF(AND(ISNUMBER(K17),ISNUMBER(N17)),K17+N17,"")</x:f>
      </x:c>
      <x:c r="P17" s="1" t="str">
        <x:f>IF(AND(COUNT(K17:L17)=2,ISNUMBER(N17)),"청구 확인","청구 미확인")</x:f>
        <x:v>청구 미확인</x:v>
      </x:c>
      <x:c r="Q17" s="1" t="str"/>
    </x:row>
    <x:row r="18" ht="25" customHeight="1">
      <x:c r="A18" s="1" t="str">
        <x:v>I05</x:v>
      </x:c>
      <x:c r="B18" s="1" t="str">
        <x:v>통합반</x:v>
      </x:c>
      <x:c r="C18" s="12" t="n">
        <x:v>46415</x:v>
      </x:c>
      <x:c r="D18" s="1" t="str">
        <x:v>미측정</x:v>
      </x:c>
      <x:c r="E18" s="8"/>
      <x:c r="F18" s="8"/>
      <x:c r="G18" s="8"/>
      <x:c r="H18" s="8"/>
      <x:c r="I18" s="8"/>
      <x:c r="J18" s="13"/>
      <x:c r="K18" s="15"/>
      <x:c r="L18" s="15"/>
      <x:c r="M18" s="13" t="str">
        <x:f>IF(COUNT(K18:L18)=2,K18-L18,"")</x:f>
      </x:c>
      <x:c r="N18" s="15"/>
      <x:c r="O18" s="13" t="str">
        <x:f>IF(AND(ISNUMBER(K18),ISNUMBER(N18)),K18+N18,"")</x:f>
      </x:c>
      <x:c r="P18" s="1" t="str">
        <x:f>IF(AND(COUNT(K18:L18)=2,ISNUMBER(N18)),"청구 확인","청구 미확인")</x:f>
        <x:v>청구 미확인</x:v>
      </x:c>
      <x:c r="Q18" s="1" t="str"/>
    </x:row>
    <x:row r="19" ht="25" customHeight="1">
      <x:c r="A19" s="1" t="str">
        <x:v>I06</x:v>
      </x:c>
      <x:c r="B19" s="1" t="str">
        <x:v>통합반</x:v>
      </x:c>
      <x:c r="C19" s="12" t="n">
        <x:v>46416</x:v>
      </x:c>
      <x:c r="D19" s="1" t="str">
        <x:v>미측정</x:v>
      </x:c>
      <x:c r="E19" s="8"/>
      <x:c r="F19" s="8"/>
      <x:c r="G19" s="8"/>
      <x:c r="H19" s="8"/>
      <x:c r="I19" s="8"/>
      <x:c r="J19" s="13"/>
      <x:c r="K19" s="15"/>
      <x:c r="L19" s="15"/>
      <x:c r="M19" s="13" t="str">
        <x:f>IF(COUNT(K19:L19)=2,K19-L19,"")</x:f>
      </x:c>
      <x:c r="N19" s="15"/>
      <x:c r="O19" s="13" t="str">
        <x:f>IF(AND(ISNUMBER(K19),ISNUMBER(N19)),K19+N19,"")</x:f>
      </x:c>
      <x:c r="P19" s="1" t="str">
        <x:f>IF(AND(COUNT(K19:L19)=2,ISNUMBER(N19)),"청구 확인","청구 미확인")</x:f>
        <x:v>청구 미확인</x:v>
      </x:c>
      <x:c r="Q19" s="1" t="str"/>
    </x:row>
    <x:row r="20" ht="25" customHeight="1">
      <x:c r="A20" s="1" t="str">
        <x:v>I07</x:v>
      </x:c>
      <x:c r="B20" s="1" t="str">
        <x:v>통합반</x:v>
      </x:c>
      <x:c r="C20" s="12" t="n">
        <x:v>46419</x:v>
      </x:c>
      <x:c r="D20" s="1" t="str">
        <x:v>미측정</x:v>
      </x:c>
      <x:c r="E20" s="8"/>
      <x:c r="F20" s="8"/>
      <x:c r="G20" s="8"/>
      <x:c r="H20" s="8"/>
      <x:c r="I20" s="8"/>
      <x:c r="J20" s="13"/>
      <x:c r="K20" s="15"/>
      <x:c r="L20" s="15"/>
      <x:c r="M20" s="13" t="str">
        <x:f>IF(COUNT(K20:L20)=2,K20-L20,"")</x:f>
      </x:c>
      <x:c r="N20" s="15"/>
      <x:c r="O20" s="13" t="str">
        <x:f>IF(AND(ISNUMBER(K20),ISNUMBER(N20)),K20+N20,"")</x:f>
      </x:c>
      <x:c r="P20" s="1" t="str">
        <x:f>IF(AND(COUNT(K20:L20)=2,ISNUMBER(N20)),"청구 확인","청구 미확인")</x:f>
        <x:v>청구 미확인</x:v>
      </x:c>
      <x:c r="Q20" s="1" t="str"/>
    </x:row>
    <x:row r="21" ht="25" customHeight="1">
      <x:c r="A21" s="1" t="str">
        <x:v>I08</x:v>
      </x:c>
      <x:c r="B21" s="1" t="str">
        <x:v>통합반</x:v>
      </x:c>
      <x:c r="C21" s="12" t="n">
        <x:v>46420</x:v>
      </x:c>
      <x:c r="D21" s="1" t="str">
        <x:v>미측정</x:v>
      </x:c>
      <x:c r="E21" s="8"/>
      <x:c r="F21" s="8"/>
      <x:c r="G21" s="8"/>
      <x:c r="H21" s="8"/>
      <x:c r="I21" s="8"/>
      <x:c r="J21" s="13"/>
      <x:c r="K21" s="15"/>
      <x:c r="L21" s="15"/>
      <x:c r="M21" s="13" t="str">
        <x:f>IF(COUNT(K21:L21)=2,K21-L21,"")</x:f>
      </x:c>
      <x:c r="N21" s="15"/>
      <x:c r="O21" s="13" t="str">
        <x:f>IF(AND(ISNUMBER(K21),ISNUMBER(N21)),K21+N21,"")</x:f>
      </x:c>
      <x:c r="P21" s="1" t="str">
        <x:f>IF(AND(COUNT(K21:L21)=2,ISNUMBER(N21)),"청구 확인","청구 미확인")</x:f>
        <x:v>청구 미확인</x:v>
      </x:c>
      <x:c r="Q21" s="1" t="str"/>
    </x:row>
    <x:row r="22" ht="25" customHeight="1">
      <x:c r="A22" s="1" t="str">
        <x:v>I09</x:v>
      </x:c>
      <x:c r="B22" s="1" t="str">
        <x:v>통합반</x:v>
      </x:c>
      <x:c r="C22" s="12" t="n">
        <x:v>46421</x:v>
      </x:c>
      <x:c r="D22" s="1" t="str">
        <x:v>미측정</x:v>
      </x:c>
      <x:c r="E22" s="8"/>
      <x:c r="F22" s="8"/>
      <x:c r="G22" s="8"/>
      <x:c r="H22" s="8"/>
      <x:c r="I22" s="8"/>
      <x:c r="J22" s="13"/>
      <x:c r="K22" s="15"/>
      <x:c r="L22" s="15"/>
      <x:c r="M22" s="13" t="str">
        <x:f>IF(COUNT(K22:L22)=2,K22-L22,"")</x:f>
      </x:c>
      <x:c r="N22" s="15"/>
      <x:c r="O22" s="13" t="str">
        <x:f>IF(AND(ISNUMBER(K22),ISNUMBER(N22)),K22+N22,"")</x:f>
      </x:c>
      <x:c r="P22" s="1" t="str">
        <x:f>IF(AND(COUNT(K22:L22)=2,ISNUMBER(N22)),"청구 확인","청구 미확인")</x:f>
        <x:v>청구 미확인</x:v>
      </x:c>
      <x:c r="Q22" s="1" t="str"/>
    </x:row>
    <x:row r="23" ht="25" customHeight="1">
      <x:c r="A23" s="1" t="str">
        <x:v>I10</x:v>
      </x:c>
      <x:c r="B23" s="1" t="str">
        <x:v>통합반</x:v>
      </x:c>
      <x:c r="C23" s="12" t="n">
        <x:v>46422</x:v>
      </x:c>
      <x:c r="D23" s="1" t="str">
        <x:v>미측정</x:v>
      </x:c>
      <x:c r="E23" s="8"/>
      <x:c r="F23" s="8"/>
      <x:c r="G23" s="8"/>
      <x:c r="H23" s="8"/>
      <x:c r="I23" s="8"/>
      <x:c r="J23" s="13"/>
      <x:c r="K23" s="15"/>
      <x:c r="L23" s="15"/>
      <x:c r="M23" s="13" t="str">
        <x:f>IF(COUNT(K23:L23)=2,K23-L23,"")</x:f>
      </x:c>
      <x:c r="N23" s="15"/>
      <x:c r="O23" s="13" t="str">
        <x:f>IF(AND(ISNUMBER(K23),ISNUMBER(N23)),K23+N23,"")</x:f>
      </x:c>
      <x:c r="P23" s="1" t="str">
        <x:f>IF(AND(COUNT(K23:L23)=2,ISNUMBER(N23)),"청구 확인","청구 미확인")</x:f>
        <x:v>청구 미확인</x:v>
      </x:c>
      <x:c r="Q23" s="1" t="str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5" customHeight="1">
      <x:c r="A26" s="1" t="str">
        <x:v>노란 칸은 사용자가 청구서와 앱 로그로 입력합니다. 크레딧은 차감액을 양수로 적습니다.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5" customHeight="1">
      <x:c r="A27" s="1" t="str">
        <x:v>J열은 확장 예상액입니다. K열은 청구 확인 원가이며 서로 대체하지 않습니다.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5" customHeight="1">
      <x:c r="A28" s="1" t="str">
        <x:v>다른 창의 Vertex 호출은 중지합니다. 확장 로그는 워크스페이스를 구분하지 않습니다.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3" max="3" width="90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입력값과 출처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34" customHeight="1">
      <x:c r="A4" s="5" t="str">
        <x:v>설정</x:v>
      </x:c>
      <x:c r="B4" s="5" t="str">
        <x:v>값</x:v>
      </x:c>
      <x:c r="C4" s="5" t="str">
        <x:v>뜻</x:v>
      </x:c>
      <x:c r="D4" s="1"/>
      <x:c r="E4" s="1"/>
      <x:c r="F4" s="1"/>
    </x:row>
    <x:row r="5" ht="25" customHeight="1">
      <x:c r="A5" s="1" t="str">
        <x:v>실전반 인원</x:v>
      </x:c>
      <x:c r="B5" s="10"/>
      <x:c r="C5" s="1" t="str">
        <x:v>학교 명단 확인 후 입력</x:v>
      </x:c>
      <x:c r="D5" s="1"/>
      <x:c r="E5" s="1"/>
      <x:c r="F5" s="1"/>
    </x:row>
    <x:row r="6" ht="25" customHeight="1">
      <x:c r="A6" s="1" t="str">
        <x:v>통합반 인원</x:v>
      </x:c>
      <x:c r="B6" s="10"/>
      <x:c r="C6" s="1" t="str">
        <x:v>학교 명단 확인 후 입력</x:v>
      </x:c>
      <x:c r="D6" s="1"/>
      <x:c r="E6" s="1"/>
      <x:c r="F6" s="1"/>
    </x:row>
    <x:row r="7" ht="25" customHeight="1">
      <x:c r="A7" s="1" t="str">
        <x:v>USD → KRW 환율</x:v>
      </x:c>
      <x:c r="B7" s="10"/>
      <x:c r="C7" s="1" t="str">
        <x:v>학교 견적 기준일 환율</x:v>
      </x:c>
      <x:c r="D7" s="1"/>
      <x:c r="E7" s="1"/>
      <x:c r="F7" s="1"/>
    </x:row>
    <x:row r="8" ht="25" customHeight="1">
      <x:c r="A8" s="1" t="str">
        <x:v>하한 사용량 배수</x:v>
      </x:c>
      <x:c r="B8" s="10" t="n">
        <x:v>1</x:v>
      </x:c>
      <x:c r="C8" s="1" t="str">
        <x:v>측정자 대비 가정; 실측 아님</x:v>
      </x:c>
      <x:c r="D8" s="1"/>
      <x:c r="E8" s="1"/>
      <x:c r="F8" s="1"/>
    </x:row>
    <x:row r="9" ht="25" customHeight="1">
      <x:c r="A9" s="1" t="str">
        <x:v>상한 사용량 배수</x:v>
      </x:c>
      <x:c r="B9" s="10" t="n">
        <x:v>1.5</x:v>
      </x:c>
      <x:c r="C9" s="1" t="str">
        <x:v>측정자 대비 가정; 변경 가능</x:v>
      </x:c>
      <x:c r="D9" s="1"/>
      <x:c r="E9" s="1"/>
      <x:c r="F9" s="1"/>
    </x:row>
    <x:row r="10" ht="25" customHeight="1">
      <x:c r="A10" s="1" t="str">
        <x:v>공유 서버·DB 총 USD</x:v>
      </x:c>
      <x:c r="B10" s="10"/>
      <x:c r="C10" s="1" t="str">
        <x:v>전체 기간 총액 한 번만; 60배 하지 않음</x:v>
      </x:c>
      <x:c r="D10" s="1"/>
      <x:c r="E10" s="1"/>
      <x:c r="F10" s="1"/>
    </x:row>
    <x:row r="11" ht="25" customHeight="1">
      <x:c r="A11" s="1" t="str">
        <x:v>세금·환전·결제 여유율</x:v>
      </x:c>
      <x:c r="B11" s="11" t="n">
        <x:v>0</x:v>
      </x:c>
      <x:c r="C11" s="1" t="str">
        <x:v>포함 범위 확인 후 입력; 기본 미반영</x:v>
      </x:c>
      <x:c r="D11" s="1"/>
      <x:c r="E11" s="1"/>
      <x:c r="F11" s="1"/>
    </x:row>
    <x:row r="12" ht="25" customHeight="1">
      <x:c r="A12" s="1" t="str">
        <x:v>총 등록 인원</x:v>
      </x:c>
      <x:c r="B12" s="1" t="n">
        <x:v>60</x:v>
      </x:c>
      <x:c r="C12" s="1" t="str">
        <x:v>사용자 요구</x:v>
      </x:c>
      <x:c r="D12" s="1"/>
      <x:c r="E12" s="1"/>
      <x:c r="F12" s="1"/>
    </x:row>
    <x:row r="13" ht="25" customHeight="1">
      <x:c r="A13" s="1" t="str">
        <x:v>측정 대상</x:v>
      </x:c>
      <x:c r="B13" s="1" t="str">
        <x:v>현행 배포본</x:v>
      </x:c>
      <x:c r="C13" s="1" t="str">
        <x:v>HydOps 조정 전; 추산 전제를 섞지 않음</x:v>
      </x:c>
      <x:c r="D13" s="1"/>
      <x:c r="E13" s="1"/>
      <x:c r="F13" s="1"/>
    </x:row>
    <x:row r="14" ht="25" customHeight="1">
      <x:c r="A14" s="1"/>
      <x:c r="B14" s="1"/>
      <x:c r="C14" s="1"/>
      <x:c r="D14" s="1"/>
      <x:c r="E14" s="1"/>
      <x:c r="F14" s="1"/>
    </x:row>
    <x:row r="15" ht="25" customHeight="1">
      <x:c r="A15" s="1"/>
      <x:c r="B15" s="1"/>
      <x:c r="C15" s="1"/>
      <x:c r="D15" s="1"/>
      <x:c r="E15" s="1"/>
      <x:c r="F15" s="1"/>
    </x:row>
    <x:row r="16" ht="34" customHeight="1">
      <x:c r="A16" s="5" t="str">
        <x:v>단가 참고 USD/1M</x:v>
      </x:c>
      <x:c r="B16" s="5" t="str">
        <x:v>값</x:v>
      </x:c>
      <x:c r="C16" s="5" t="str">
        <x:v>공식 문서 확인 2026-09-15</x:v>
      </x:c>
      <x:c r="D16" s="1"/>
      <x:c r="E16" s="1"/>
      <x:c r="F16" s="1"/>
    </x:row>
    <x:row r="17" ht="25" customHeight="1">
      <x:c r="A17" s="1" t="str">
        <x:v>Luna 일반 입력</x:v>
      </x:c>
      <x:c r="B17" s="1" t="n">
        <x:v>0.2</x:v>
      </x:c>
      <x:c r="C17" s="1" t="str">
        <x:v>https://developers.openai.com/api/docs/models/gpt-5.6-luna</x:v>
      </x:c>
      <x:c r="D17" s="1"/>
      <x:c r="E17" s="1"/>
      <x:c r="F17" s="1"/>
    </x:row>
    <x:row r="18" ht="25" customHeight="1">
      <x:c r="A18" s="1" t="str">
        <x:v>Luna 캐시 읽기</x:v>
      </x:c>
      <x:c r="B18" s="1" t="n">
        <x:v>0.02</x:v>
      </x:c>
      <x:c r="C18" s="1" t="str">
        <x:v>동일 출처</x:v>
      </x:c>
      <x:c r="D18" s="1"/>
      <x:c r="E18" s="1"/>
      <x:c r="F18" s="1"/>
    </x:row>
    <x:row r="19" ht="25" customHeight="1">
      <x:c r="A19" s="1" t="str">
        <x:v>Luna 출력</x:v>
      </x:c>
      <x:c r="B19" s="1" t="n">
        <x:v>1.2</x:v>
      </x:c>
      <x:c r="C19" s="1" t="str">
        <x:v>동일 출처</x:v>
      </x:c>
      <x:c r="D19" s="1"/>
      <x:c r="E19" s="1"/>
      <x:c r="F19" s="1"/>
    </x:row>
    <x:row r="20" ht="25" customHeight="1">
      <x:c r="A20" s="1" t="str">
        <x:v>Luna 장문 조건</x:v>
      </x:c>
      <x:c r="B20" s="1" t="str">
        <x:v>272K 초과</x:v>
      </x:c>
      <x:c r="C20" s="1" t="str">
        <x:v>입력 2배·출력 1.5배; 캐시 쓰기 일반 입력 1.25배</x:v>
      </x:c>
      <x:c r="D20" s="1"/>
      <x:c r="E20" s="1"/>
      <x:c r="F20" s="1"/>
    </x:row>
    <x:row r="21" ht="25" customHeight="1">
      <x:c r="A21" s="1"/>
      <x:c r="B21" s="1"/>
      <x:c r="C21" s="1"/>
      <x:c r="D21" s="1"/>
      <x:c r="E21" s="1"/>
      <x:c r="F21" s="1"/>
    </x:row>
    <x:row r="22" ht="25" customHeight="1">
      <x:c r="A22" s="1"/>
      <x:c r="B22" s="1"/>
      <x:c r="C22" s="1"/>
      <x:c r="D22" s="1"/>
      <x:c r="E22" s="1"/>
      <x:c r="F22" s="1"/>
    </x:row>
    <x:row r="23" ht="34" customHeight="1">
      <x:c r="A23" s="5" t="str">
        <x:v>리서치/측정 출처</x:v>
      </x:c>
      <x:c r="B23" s="5" t="str">
        <x:v>구분</x:v>
      </x:c>
      <x:c r="C23" s="5" t="str">
        <x:v>자료</x:v>
      </x:c>
      <x:c r="D23" s="1"/>
      <x:c r="E23" s="1"/>
      <x:c r="F23" s="1"/>
    </x:row>
    <x:row r="24" ht="25" customHeight="1">
      <x:c r="A24" s="1" t="str">
        <x:v>운영안</x:v>
      </x:c>
      <x:c r="B24" s="1" t="str">
        <x:v>사용자 제공</x:v>
      </x:c>
      <x:c r="C24" s="1" t="str">
        <x:v>KNU_60명_AI_Coding_Agent_1순위_운영안_CloudRun.md</x:v>
      </x:c>
      <x:c r="D24" s="1"/>
      <x:c r="E24" s="1"/>
      <x:c r="F24" s="1"/>
    </x:row>
    <x:row r="25" ht="25" customHeight="1">
      <x:c r="A25" s="1" t="str">
        <x:v>사용량 로그</x:v>
      </x:c>
      <x:c r="B25" s="1" t="str">
        <x:v>로컬 예상 비용</x:v>
      </x:c>
      <x:c r="C25" s="1" t="str">
        <x:v>https://github.com/jorsm/vertex-ai-models-chat-provider/blob/HEAD/docs/usage-and-billing.md</x:v>
      </x:c>
      <x:c r="D25" s="1"/>
      <x:c r="E25" s="1"/>
      <x:c r="F25" s="1"/>
    </x:row>
    <x:row r="26" ht="25" customHeight="1">
      <x:c r="A26" s="1" t="str">
        <x:v>Google 청구</x:v>
      </x:c>
      <x:c r="B26" s="1" t="str">
        <x:v>확정 사용량 대조</x:v>
      </x:c>
      <x:c r="C26" s="1" t="str">
        <x:v>https://docs.cloud.google.com/billing/docs/how-to/export-data-bigquery</x:v>
      </x:c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/>
      <x:c r="B28" s="1"/>
      <x:c r="C28" s="1"/>
      <x:c r="D28" s="1"/>
      <x:c r="E28" s="1"/>
      <x:c r="F28" s="1"/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</x:sheetData>
  <x:pageMargins left="0.7" right="0.7" top="0.75" bottom="0.75" header="0.3" footer="0.3"/>
</x:worksheet>
</file>